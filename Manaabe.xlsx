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hani\Desktop\"/>
    </mc:Choice>
  </mc:AlternateContent>
  <xr:revisionPtr revIDLastSave="0" documentId="13_ncr:1_{8471C0CA-AC28-43B6-A819-FC3A064AD7DE}" xr6:coauthVersionLast="47" xr6:coauthVersionMax="47" xr10:uidLastSave="{00000000-0000-0000-0000-000000000000}"/>
  <bookViews>
    <workbookView xWindow="-120" yWindow="-120" windowWidth="29040" windowHeight="15720" xr2:uid="{275C985D-D40F-41A1-8A2A-C970E2A5C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G5" i="1"/>
  <c r="G6" i="1"/>
  <c r="M5" i="1"/>
  <c r="M6" i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M8" i="1" l="1"/>
  <c r="H19" i="1"/>
</calcChain>
</file>

<file path=xl/sharedStrings.xml><?xml version="1.0" encoding="utf-8"?>
<sst xmlns="http://schemas.openxmlformats.org/spreadsheetml/2006/main" count="32" uniqueCount="25">
  <si>
    <t>ردیف</t>
  </si>
  <si>
    <t>نماد</t>
  </si>
  <si>
    <t>جمع کل ارزش ابطال(ریال)</t>
  </si>
  <si>
    <t>حداقل معاملات روزانه</t>
  </si>
  <si>
    <t>ارزش ریالی که قرارهست صدور زده شود</t>
  </si>
  <si>
    <t>تعداد روزی که به نقدینگی اضافه می شود</t>
  </si>
  <si>
    <t>کاوه</t>
  </si>
  <si>
    <t>گکوثر</t>
  </si>
  <si>
    <t>تعداد روزی که ابطال می شود</t>
  </si>
  <si>
    <t>تعداد کل یونیتها</t>
  </si>
  <si>
    <t>تعداد یونیتی که ابطال می شود</t>
  </si>
  <si>
    <t>رنیک</t>
  </si>
  <si>
    <t>قشیر</t>
  </si>
  <si>
    <t>زدشت</t>
  </si>
  <si>
    <t>وسنا</t>
  </si>
  <si>
    <t>کگاز</t>
  </si>
  <si>
    <t>تلیسه</t>
  </si>
  <si>
    <t>تعهد ریالی سهم  برای یک روز(ریال)</t>
  </si>
  <si>
    <t>جمع کل</t>
  </si>
  <si>
    <t>وجه نقد تقریبی لازم برای 20 روز بازارگردانی(ریال)</t>
  </si>
  <si>
    <t>تحمل صف فروش(تعداد روز)</t>
  </si>
  <si>
    <t>تحمل صف فروش (تعداد روز)</t>
  </si>
  <si>
    <t>وجه نقد در تاریخ 1404/08/20(ریال)</t>
  </si>
  <si>
    <t>نرخ ابطال در تاریخ 1404/08/20(ریال)</t>
  </si>
  <si>
    <t>قیمت پایانی سهم در تاریخ 1404/08/20(ریال)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</si>
</sst>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D76E-0D1D-423C-AF73-DA108C88DAD6}">
  <sheetPr>
    <pageSetUpPr fitToPage="1"/>
  </sheetPr>
  <dimension ref="A4:M19"/>
  <sheetViews>
    <sheetView rightToLeft="1" tabSelected="1" topLeftCell="A5" workbookViewId="0">
      <selection activeCell="K17" sqref="K17"/>
    </sheetView>
  </sheetViews>
  <sheetFormatPr defaultRowHeight="15" x14ac:dyDescent="0.25"/>
  <cols>
    <col min="1" max="1" width="6.28515625" customWidth="1"/>
    <col min="2" max="2" width="6.7109375" customWidth="1"/>
    <col min="3" max="3" width="17.28515625" customWidth="1"/>
    <col min="4" max="4" width="5" customWidth="1"/>
    <col min="5" max="5" width="10.85546875" customWidth="1"/>
    <col min="6" max="7" width="16" customWidth="1"/>
    <col min="8" max="8" width="16.42578125" customWidth="1"/>
    <col min="9" max="9" width="11.85546875" customWidth="1"/>
    <col min="10" max="10" width="8.85546875" customWidth="1"/>
    <col min="11" max="11" width="12.85546875" customWidth="1"/>
    <col min="12" max="12" width="15.28515625" customWidth="1"/>
    <col min="13" max="13" width="15.7109375" customWidth="1"/>
  </cols>
  <sheetData>
    <row r="4" spans="1:13" ht="120" customHeight="1" x14ac:dyDescent="0.25">
      <c r="A4" s="4" t="s">
        <v>0</v>
      </c>
      <c r="B4" s="4" t="s">
        <v>1</v>
      </c>
      <c r="C4" s="4" t="s">
        <v>22</v>
      </c>
      <c r="D4" s="4" t="s">
        <v>20</v>
      </c>
      <c r="E4" s="4" t="s">
        <v>3</v>
      </c>
      <c r="F4" s="4" t="s">
        <v>24</v>
      </c>
      <c r="G4" s="4" t="s">
        <v>17</v>
      </c>
      <c r="H4" s="4" t="s">
        <v>19</v>
      </c>
      <c r="I4" s="4" t="s">
        <v>8</v>
      </c>
      <c r="J4" s="4" t="s">
        <v>9</v>
      </c>
      <c r="K4" s="4" t="s">
        <v>10</v>
      </c>
      <c r="L4" s="4" t="s">
        <v>23</v>
      </c>
      <c r="M4" s="4" t="s">
        <v>2</v>
      </c>
    </row>
    <row r="5" spans="1:13" ht="18.75" x14ac:dyDescent="0.25">
      <c r="A5" s="1">
        <v>1</v>
      </c>
      <c r="B5" s="1" t="s">
        <v>6</v>
      </c>
      <c r="C5" s="3">
        <v>390547853123</v>
      </c>
      <c r="D5" s="1">
        <v>64</v>
      </c>
      <c r="E5" s="3">
        <v>1603000</v>
      </c>
      <c r="F5" s="3">
        <v>3778</v>
      </c>
      <c r="G5" s="3">
        <f t="shared" ref="G5:G6" si="0">F5*E5</f>
        <v>6056134000</v>
      </c>
      <c r="H5" s="3">
        <f>G5*20</f>
        <v>121122680000</v>
      </c>
      <c r="I5" s="1">
        <v>49</v>
      </c>
      <c r="J5" s="3">
        <v>844074</v>
      </c>
      <c r="K5" s="3">
        <v>225074</v>
      </c>
      <c r="L5" s="3">
        <v>1219212</v>
      </c>
      <c r="M5" s="3">
        <f t="shared" ref="M5:M6" si="1">L5*K5</f>
        <v>274412921688</v>
      </c>
    </row>
    <row r="6" spans="1:13" ht="18.75" x14ac:dyDescent="0.25">
      <c r="A6" s="1">
        <v>2</v>
      </c>
      <c r="B6" s="1" t="s">
        <v>7</v>
      </c>
      <c r="C6" s="3">
        <v>113119532353</v>
      </c>
      <c r="D6" s="1">
        <v>29</v>
      </c>
      <c r="E6" s="3">
        <v>1742330</v>
      </c>
      <c r="F6" s="3">
        <v>2227</v>
      </c>
      <c r="G6" s="3">
        <f t="shared" si="0"/>
        <v>3880168910</v>
      </c>
      <c r="H6" s="3">
        <f>G6*20</f>
        <v>77603378200</v>
      </c>
      <c r="I6" s="1">
        <v>14</v>
      </c>
      <c r="J6" s="3">
        <v>146405</v>
      </c>
      <c r="K6" s="3">
        <v>20405</v>
      </c>
      <c r="L6" s="3">
        <v>1864516</v>
      </c>
      <c r="M6" s="3">
        <f t="shared" si="1"/>
        <v>38045448980</v>
      </c>
    </row>
    <row r="7" spans="1:13" ht="18.75" x14ac:dyDescent="0.25">
      <c r="A7" s="2"/>
      <c r="B7" s="2"/>
      <c r="C7" s="5"/>
      <c r="D7" s="2"/>
      <c r="E7" s="2"/>
      <c r="F7" s="5"/>
      <c r="G7" s="5"/>
      <c r="H7" s="5"/>
      <c r="I7" s="2"/>
      <c r="J7" s="2"/>
    </row>
    <row r="8" spans="1:13" ht="18.75" x14ac:dyDescent="0.25">
      <c r="L8" t="s">
        <v>18</v>
      </c>
      <c r="M8" s="5">
        <f>SUM(M5:M7)</f>
        <v>312458370668</v>
      </c>
    </row>
    <row r="11" spans="1:13" ht="150" x14ac:dyDescent="0.25">
      <c r="A11" s="4" t="s">
        <v>0</v>
      </c>
      <c r="B11" s="4" t="s">
        <v>1</v>
      </c>
      <c r="C11" s="4" t="s">
        <v>22</v>
      </c>
      <c r="D11" s="4" t="s">
        <v>21</v>
      </c>
      <c r="E11" s="4" t="s">
        <v>3</v>
      </c>
      <c r="F11" s="4" t="s">
        <v>24</v>
      </c>
      <c r="G11" s="4" t="s">
        <v>17</v>
      </c>
      <c r="H11" s="4" t="s">
        <v>4</v>
      </c>
      <c r="I11" s="4" t="s">
        <v>5</v>
      </c>
    </row>
    <row r="12" spans="1:13" ht="18.75" x14ac:dyDescent="0.25">
      <c r="A12" s="1">
        <v>2</v>
      </c>
      <c r="B12" s="1" t="s">
        <v>11</v>
      </c>
      <c r="C12" s="3">
        <v>45264162573</v>
      </c>
      <c r="D12" s="3">
        <v>3</v>
      </c>
      <c r="E12" s="3">
        <v>923100</v>
      </c>
      <c r="F12" s="3">
        <v>18370</v>
      </c>
      <c r="G12" s="3">
        <f t="shared" ref="G12:G17" si="2">F12*E12</f>
        <v>16957347000</v>
      </c>
      <c r="H12" s="3">
        <f t="shared" ref="H12:H17" si="3">I12*G12</f>
        <v>67829388000</v>
      </c>
      <c r="I12" s="3">
        <v>4</v>
      </c>
    </row>
    <row r="13" spans="1:13" ht="18.75" x14ac:dyDescent="0.25">
      <c r="A13" s="1">
        <v>4</v>
      </c>
      <c r="B13" s="1" t="s">
        <v>12</v>
      </c>
      <c r="C13" s="3">
        <v>16431106689</v>
      </c>
      <c r="D13" s="3">
        <v>3</v>
      </c>
      <c r="E13" s="3">
        <v>555250</v>
      </c>
      <c r="F13" s="3">
        <v>8990</v>
      </c>
      <c r="G13" s="3">
        <f t="shared" si="2"/>
        <v>4991697500</v>
      </c>
      <c r="H13" s="3">
        <f t="shared" si="3"/>
        <v>24958487500</v>
      </c>
      <c r="I13" s="3">
        <v>5</v>
      </c>
    </row>
    <row r="14" spans="1:13" ht="18.75" x14ac:dyDescent="0.25">
      <c r="A14" s="1">
        <v>5</v>
      </c>
      <c r="B14" s="1" t="s">
        <v>13</v>
      </c>
      <c r="C14" s="3">
        <v>23091204561</v>
      </c>
      <c r="D14" s="3">
        <v>3</v>
      </c>
      <c r="E14" s="3">
        <v>222940</v>
      </c>
      <c r="F14" s="3">
        <v>30050</v>
      </c>
      <c r="G14" s="3">
        <f t="shared" si="2"/>
        <v>6699347000</v>
      </c>
      <c r="H14" s="3">
        <f t="shared" si="3"/>
        <v>26797388000</v>
      </c>
      <c r="I14" s="3">
        <v>4</v>
      </c>
    </row>
    <row r="15" spans="1:13" ht="18.75" x14ac:dyDescent="0.25">
      <c r="A15" s="1">
        <v>6</v>
      </c>
      <c r="B15" s="1" t="s">
        <v>14</v>
      </c>
      <c r="C15" s="3">
        <v>11011338039</v>
      </c>
      <c r="D15" s="3">
        <v>2</v>
      </c>
      <c r="E15" s="3">
        <v>423680</v>
      </c>
      <c r="F15" s="3">
        <v>13370</v>
      </c>
      <c r="G15" s="3">
        <f t="shared" si="2"/>
        <v>5664601600</v>
      </c>
      <c r="H15" s="3">
        <f t="shared" si="3"/>
        <v>28323008000</v>
      </c>
      <c r="I15" s="3">
        <v>5</v>
      </c>
    </row>
    <row r="16" spans="1:13" ht="18.75" x14ac:dyDescent="0.25">
      <c r="A16" s="1">
        <v>7</v>
      </c>
      <c r="B16" s="1" t="s">
        <v>15</v>
      </c>
      <c r="C16" s="3">
        <v>24983606046</v>
      </c>
      <c r="D16" s="3">
        <v>4</v>
      </c>
      <c r="E16" s="3">
        <v>239000</v>
      </c>
      <c r="F16" s="3">
        <v>27920</v>
      </c>
      <c r="G16" s="3">
        <f t="shared" si="2"/>
        <v>6672880000</v>
      </c>
      <c r="H16" s="3">
        <f t="shared" si="3"/>
        <v>20018640000</v>
      </c>
      <c r="I16" s="3">
        <v>3</v>
      </c>
    </row>
    <row r="17" spans="1:9" ht="18.75" x14ac:dyDescent="0.25">
      <c r="A17" s="1">
        <v>8</v>
      </c>
      <c r="B17" s="1" t="s">
        <v>16</v>
      </c>
      <c r="C17" s="3">
        <v>45701495805</v>
      </c>
      <c r="D17" s="3">
        <v>3</v>
      </c>
      <c r="E17" s="3">
        <v>3587940</v>
      </c>
      <c r="F17" s="3">
        <v>4317</v>
      </c>
      <c r="G17" s="3">
        <f t="shared" si="2"/>
        <v>15489136980</v>
      </c>
      <c r="H17" s="3">
        <f t="shared" si="3"/>
        <v>139402232820</v>
      </c>
      <c r="I17" s="3">
        <v>9</v>
      </c>
    </row>
    <row r="19" spans="1:9" ht="18.75" x14ac:dyDescent="0.25">
      <c r="G19" t="s">
        <v>18</v>
      </c>
      <c r="H19" s="3">
        <f>SUM(H12:H18)</f>
        <v>307329144320</v>
      </c>
    </row>
  </sheetData>
  <pageMargins left="0.7" right="0.7" top="0.75" bottom="0.75" header="0.3" footer="0.3"/>
  <pageSetup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farzad jahani</dc:creator>
  <cp:lastModifiedBy>farzad jahani</cp:lastModifiedBy>
  <cp:lastPrinted>2025-11-10T05:21:02Z</cp:lastPrinted>
  <dcterms:created xsi:type="dcterms:W3CDTF">2025-11-09T11:29:11Z</dcterms:created>
  <dcterms:modified xsi:type="dcterms:W3CDTF">2025-11-12T09:24:24Z</dcterms:modified>
</cp:coreProperties>
</file>